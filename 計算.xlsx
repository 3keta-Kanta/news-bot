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4845\project\in-house\99.その他\01.給料\"/>
    </mc:Choice>
  </mc:AlternateContent>
  <xr:revisionPtr revIDLastSave="0" documentId="13_ncr:1_{035A19F1-57F3-4E5C-AC6D-A5C4EEEE5920}" xr6:coauthVersionLast="47" xr6:coauthVersionMax="47" xr10:uidLastSave="{00000000-0000-0000-0000-000000000000}"/>
  <bookViews>
    <workbookView xWindow="-110" yWindow="-110" windowWidth="38620" windowHeight="21100" xr2:uid="{44E12B9D-1540-4861-89CF-52DCE9EBBA78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" l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M28" i="1"/>
  <c r="L28" i="1"/>
  <c r="E27" i="2"/>
  <c r="E28" i="1"/>
  <c r="D26" i="2"/>
  <c r="D27" i="2" s="1"/>
  <c r="C26" i="2"/>
  <c r="C27" i="2" s="1"/>
  <c r="D28" i="1"/>
  <c r="C28" i="1"/>
  <c r="D27" i="1"/>
  <c r="C27" i="1"/>
</calcChain>
</file>

<file path=xl/sharedStrings.xml><?xml version="1.0" encoding="utf-8"?>
<sst xmlns="http://schemas.openxmlformats.org/spreadsheetml/2006/main" count="10" uniqueCount="6">
  <si>
    <t>等級ポイント</t>
    <rPh sb="0" eb="2">
      <t>トウキュウ</t>
    </rPh>
    <phoneticPr fontId="2"/>
  </si>
  <si>
    <t>勤続ポイント</t>
    <rPh sb="0" eb="2">
      <t>キンゾク</t>
    </rPh>
    <phoneticPr fontId="2"/>
  </si>
  <si>
    <t>年齢</t>
    <rPh sb="0" eb="2">
      <t>ネンレイ</t>
    </rPh>
    <phoneticPr fontId="2"/>
  </si>
  <si>
    <t>勤続年数係数</t>
    <rPh sb="0" eb="6">
      <t>キンゾクネンスウケイスウ</t>
    </rPh>
    <phoneticPr fontId="2"/>
  </si>
  <si>
    <t>入社年</t>
    <rPh sb="0" eb="2">
      <t>ニュウシャ</t>
    </rPh>
    <rPh sb="2" eb="3">
      <t>ネン</t>
    </rPh>
    <phoneticPr fontId="2"/>
  </si>
  <si>
    <t>入社年</t>
    <rPh sb="0" eb="3">
      <t>ニュウシャネン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</si>
</sst>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38" fontId="0" fillId="0" borderId="0" xfId="1" applyFont="1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3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38" fontId="0" fillId="0" borderId="11" xfId="1" applyFont="1" applyBorder="1">
      <alignment vertical="center"/>
    </xf>
    <xf numFmtId="38" fontId="0" fillId="0" borderId="12" xfId="1" applyFont="1" applyBorder="1">
      <alignment vertical="center"/>
    </xf>
    <xf numFmtId="0" fontId="0" fillId="0" borderId="13" xfId="0" applyBorder="1">
      <alignment vertical="center"/>
    </xf>
    <xf numFmtId="38" fontId="5" fillId="0" borderId="11" xfId="1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A11D-6D8D-405E-9206-56AB9893774C}">
  <dimension ref="A3:Q28"/>
  <sheetViews>
    <sheetView showGridLines="0" tabSelected="1" workbookViewId="0"/>
  </sheetViews>
  <sheetFormatPr defaultRowHeight="18" x14ac:dyDescent="0.55000000000000004"/>
  <cols>
    <col min="3" max="3" width="9.1640625" bestFit="1" customWidth="1"/>
    <col min="4" max="4" width="8.75" bestFit="1" customWidth="1"/>
    <col min="5" max="5" width="9.9140625" bestFit="1" customWidth="1"/>
    <col min="14" max="14" width="9.9140625" bestFit="1" customWidth="1"/>
  </cols>
  <sheetData>
    <row r="3" spans="1:15" x14ac:dyDescent="0.55000000000000004">
      <c r="A3" s="4"/>
      <c r="B3" s="5"/>
      <c r="C3" s="6" t="s">
        <v>0</v>
      </c>
      <c r="D3" s="6" t="s">
        <v>1</v>
      </c>
      <c r="E3" s="5"/>
      <c r="F3" s="7" t="s">
        <v>2</v>
      </c>
      <c r="J3" s="4"/>
      <c r="K3" s="5"/>
      <c r="L3" s="6" t="s">
        <v>0</v>
      </c>
      <c r="M3" s="6" t="s">
        <v>1</v>
      </c>
      <c r="N3" s="5"/>
      <c r="O3" s="7" t="s">
        <v>2</v>
      </c>
    </row>
    <row r="4" spans="1:15" x14ac:dyDescent="0.55000000000000004">
      <c r="A4" s="8" t="s">
        <v>4</v>
      </c>
      <c r="B4" s="9">
        <v>2022</v>
      </c>
      <c r="C4" s="9">
        <v>14</v>
      </c>
      <c r="D4" s="9">
        <v>0</v>
      </c>
      <c r="E4" s="9"/>
      <c r="F4" s="10">
        <v>39</v>
      </c>
      <c r="J4" s="8"/>
      <c r="K4" s="9">
        <v>2022</v>
      </c>
      <c r="L4" s="9"/>
      <c r="M4" s="9"/>
      <c r="N4" s="9"/>
      <c r="O4" s="10">
        <v>39</v>
      </c>
    </row>
    <row r="5" spans="1:15" x14ac:dyDescent="0.55000000000000004">
      <c r="A5" s="8"/>
      <c r="B5" s="9">
        <v>2023</v>
      </c>
      <c r="C5" s="9">
        <v>14</v>
      </c>
      <c r="D5" s="9">
        <v>2</v>
      </c>
      <c r="E5" s="9"/>
      <c r="F5" s="10">
        <v>40</v>
      </c>
      <c r="J5" s="8"/>
      <c r="K5" s="9">
        <v>2023</v>
      </c>
      <c r="L5" s="9"/>
      <c r="M5" s="9"/>
      <c r="N5" s="9"/>
      <c r="O5" s="10">
        <v>40</v>
      </c>
    </row>
    <row r="6" spans="1:15" x14ac:dyDescent="0.55000000000000004">
      <c r="A6" s="8"/>
      <c r="B6" s="9">
        <v>2024</v>
      </c>
      <c r="C6" s="9">
        <v>14</v>
      </c>
      <c r="D6" s="9">
        <v>2</v>
      </c>
      <c r="E6" s="9"/>
      <c r="F6" s="10">
        <v>41</v>
      </c>
      <c r="J6" s="8"/>
      <c r="K6" s="9">
        <v>2024</v>
      </c>
      <c r="L6" s="9"/>
      <c r="M6" s="9"/>
      <c r="N6" s="9"/>
      <c r="O6" s="10">
        <v>41</v>
      </c>
    </row>
    <row r="7" spans="1:15" x14ac:dyDescent="0.55000000000000004">
      <c r="A7" s="8"/>
      <c r="B7" s="9">
        <v>2025</v>
      </c>
      <c r="C7" s="9">
        <v>14</v>
      </c>
      <c r="D7" s="9">
        <v>2</v>
      </c>
      <c r="E7" s="9"/>
      <c r="F7" s="10">
        <v>42</v>
      </c>
      <c r="J7" s="8"/>
      <c r="K7" s="9">
        <v>2025</v>
      </c>
      <c r="L7" s="9"/>
      <c r="M7" s="9"/>
      <c r="N7" s="9"/>
      <c r="O7" s="10">
        <v>42</v>
      </c>
    </row>
    <row r="8" spans="1:15" x14ac:dyDescent="0.55000000000000004">
      <c r="A8" s="8"/>
      <c r="B8" s="9">
        <v>2026</v>
      </c>
      <c r="C8" s="9">
        <v>19</v>
      </c>
      <c r="D8" s="9">
        <v>2</v>
      </c>
      <c r="E8" s="9"/>
      <c r="F8" s="10">
        <v>43</v>
      </c>
      <c r="J8" s="8" t="s">
        <v>5</v>
      </c>
      <c r="K8" s="9">
        <v>2026</v>
      </c>
      <c r="L8" s="9">
        <v>6</v>
      </c>
      <c r="M8" s="9">
        <v>20000</v>
      </c>
      <c r="N8" s="9">
        <f>L8*M8</f>
        <v>120000</v>
      </c>
      <c r="O8" s="10">
        <v>43</v>
      </c>
    </row>
    <row r="9" spans="1:15" x14ac:dyDescent="0.55000000000000004">
      <c r="A9" s="8"/>
      <c r="B9" s="9">
        <v>2027</v>
      </c>
      <c r="C9" s="9">
        <v>19</v>
      </c>
      <c r="D9" s="9">
        <v>2</v>
      </c>
      <c r="E9" s="9"/>
      <c r="F9" s="10">
        <v>44</v>
      </c>
      <c r="J9" s="8"/>
      <c r="K9" s="9">
        <v>2027</v>
      </c>
      <c r="L9" s="9">
        <v>12</v>
      </c>
      <c r="M9" s="9">
        <v>20000</v>
      </c>
      <c r="N9" s="9">
        <f>L9*M9</f>
        <v>240000</v>
      </c>
      <c r="O9" s="10">
        <v>44</v>
      </c>
    </row>
    <row r="10" spans="1:15" x14ac:dyDescent="0.55000000000000004">
      <c r="A10" s="8"/>
      <c r="B10" s="9">
        <v>2028</v>
      </c>
      <c r="C10" s="9">
        <v>19</v>
      </c>
      <c r="D10" s="9">
        <v>4</v>
      </c>
      <c r="E10" s="9"/>
      <c r="F10" s="10">
        <v>45</v>
      </c>
      <c r="J10" s="8"/>
      <c r="K10" s="9">
        <v>2028</v>
      </c>
      <c r="L10" s="9">
        <v>12</v>
      </c>
      <c r="M10" s="9">
        <v>20000</v>
      </c>
      <c r="N10" s="9">
        <f t="shared" ref="N10:N26" si="0">L10*M10</f>
        <v>240000</v>
      </c>
      <c r="O10" s="10">
        <v>45</v>
      </c>
    </row>
    <row r="11" spans="1:15" x14ac:dyDescent="0.55000000000000004">
      <c r="A11" s="8"/>
      <c r="B11" s="9">
        <v>2029</v>
      </c>
      <c r="C11" s="9">
        <v>19</v>
      </c>
      <c r="D11" s="9">
        <v>4</v>
      </c>
      <c r="E11" s="9"/>
      <c r="F11" s="10">
        <v>46</v>
      </c>
      <c r="J11" s="8"/>
      <c r="K11" s="9">
        <v>2029</v>
      </c>
      <c r="L11" s="9">
        <v>12</v>
      </c>
      <c r="M11" s="9">
        <v>20000</v>
      </c>
      <c r="N11" s="9">
        <f t="shared" si="0"/>
        <v>240000</v>
      </c>
      <c r="O11" s="10">
        <v>46</v>
      </c>
    </row>
    <row r="12" spans="1:15" x14ac:dyDescent="0.55000000000000004">
      <c r="A12" s="8"/>
      <c r="B12" s="9">
        <v>2030</v>
      </c>
      <c r="C12" s="9">
        <v>19</v>
      </c>
      <c r="D12" s="9">
        <v>4</v>
      </c>
      <c r="E12" s="9"/>
      <c r="F12" s="10">
        <v>47</v>
      </c>
      <c r="J12" s="8"/>
      <c r="K12" s="9">
        <v>2030</v>
      </c>
      <c r="L12" s="9">
        <v>12</v>
      </c>
      <c r="M12" s="9">
        <v>20000</v>
      </c>
      <c r="N12" s="9">
        <f t="shared" si="0"/>
        <v>240000</v>
      </c>
      <c r="O12" s="10">
        <v>47</v>
      </c>
    </row>
    <row r="13" spans="1:15" x14ac:dyDescent="0.55000000000000004">
      <c r="A13" s="8"/>
      <c r="B13" s="9">
        <v>2031</v>
      </c>
      <c r="C13" s="9">
        <v>19</v>
      </c>
      <c r="D13" s="9">
        <v>4</v>
      </c>
      <c r="E13" s="9"/>
      <c r="F13" s="10">
        <v>48</v>
      </c>
      <c r="J13" s="8"/>
      <c r="K13" s="9">
        <v>2031</v>
      </c>
      <c r="L13" s="9">
        <v>12</v>
      </c>
      <c r="M13" s="9">
        <v>20000</v>
      </c>
      <c r="N13" s="9">
        <f t="shared" si="0"/>
        <v>240000</v>
      </c>
      <c r="O13" s="10">
        <v>48</v>
      </c>
    </row>
    <row r="14" spans="1:15" x14ac:dyDescent="0.55000000000000004">
      <c r="A14" s="8"/>
      <c r="B14" s="9">
        <v>2032</v>
      </c>
      <c r="C14" s="9">
        <v>19</v>
      </c>
      <c r="D14" s="9">
        <v>4</v>
      </c>
      <c r="E14" s="9"/>
      <c r="F14" s="10">
        <v>49</v>
      </c>
      <c r="J14" s="8"/>
      <c r="K14" s="9">
        <v>2032</v>
      </c>
      <c r="L14" s="9">
        <v>12</v>
      </c>
      <c r="M14" s="9">
        <v>20000</v>
      </c>
      <c r="N14" s="9">
        <f t="shared" si="0"/>
        <v>240000</v>
      </c>
      <c r="O14" s="10">
        <v>49</v>
      </c>
    </row>
    <row r="15" spans="1:15" x14ac:dyDescent="0.55000000000000004">
      <c r="A15" s="8"/>
      <c r="B15" s="9">
        <v>2033</v>
      </c>
      <c r="C15" s="9">
        <v>19</v>
      </c>
      <c r="D15" s="9">
        <v>4</v>
      </c>
      <c r="E15" s="9"/>
      <c r="F15" s="10">
        <v>50</v>
      </c>
      <c r="J15" s="8"/>
      <c r="K15" s="9">
        <v>2033</v>
      </c>
      <c r="L15" s="9">
        <v>12</v>
      </c>
      <c r="M15" s="9">
        <v>20000</v>
      </c>
      <c r="N15" s="9">
        <f t="shared" si="0"/>
        <v>240000</v>
      </c>
      <c r="O15" s="10">
        <v>50</v>
      </c>
    </row>
    <row r="16" spans="1:15" x14ac:dyDescent="0.55000000000000004">
      <c r="A16" s="8"/>
      <c r="B16" s="9">
        <v>2034</v>
      </c>
      <c r="C16" s="9">
        <v>19</v>
      </c>
      <c r="D16" s="9">
        <v>4</v>
      </c>
      <c r="E16" s="9"/>
      <c r="F16" s="10">
        <v>51</v>
      </c>
      <c r="J16" s="8"/>
      <c r="K16" s="9">
        <v>2034</v>
      </c>
      <c r="L16" s="9">
        <v>12</v>
      </c>
      <c r="M16" s="9">
        <v>20000</v>
      </c>
      <c r="N16" s="9">
        <f t="shared" si="0"/>
        <v>240000</v>
      </c>
      <c r="O16" s="10">
        <v>51</v>
      </c>
    </row>
    <row r="17" spans="1:17" x14ac:dyDescent="0.55000000000000004">
      <c r="A17" s="8"/>
      <c r="B17" s="9">
        <v>2035</v>
      </c>
      <c r="C17" s="9">
        <v>19</v>
      </c>
      <c r="D17" s="9">
        <v>4</v>
      </c>
      <c r="E17" s="9"/>
      <c r="F17" s="10">
        <v>52</v>
      </c>
      <c r="J17" s="8"/>
      <c r="K17" s="9">
        <v>2035</v>
      </c>
      <c r="L17" s="9">
        <v>12</v>
      </c>
      <c r="M17" s="9">
        <v>20000</v>
      </c>
      <c r="N17" s="9">
        <f t="shared" si="0"/>
        <v>240000</v>
      </c>
      <c r="O17" s="10">
        <v>52</v>
      </c>
    </row>
    <row r="18" spans="1:17" x14ac:dyDescent="0.55000000000000004">
      <c r="A18" s="8"/>
      <c r="B18" s="9">
        <v>2036</v>
      </c>
      <c r="C18" s="9">
        <v>19</v>
      </c>
      <c r="D18" s="9">
        <v>4</v>
      </c>
      <c r="E18" s="9"/>
      <c r="F18" s="10">
        <v>53</v>
      </c>
      <c r="J18" s="8"/>
      <c r="K18" s="9">
        <v>2036</v>
      </c>
      <c r="L18" s="9">
        <v>12</v>
      </c>
      <c r="M18" s="9">
        <v>20000</v>
      </c>
      <c r="N18" s="9">
        <f t="shared" si="0"/>
        <v>240000</v>
      </c>
      <c r="O18" s="10">
        <v>53</v>
      </c>
    </row>
    <row r="19" spans="1:17" x14ac:dyDescent="0.55000000000000004">
      <c r="A19" s="8"/>
      <c r="B19" s="9">
        <v>2037</v>
      </c>
      <c r="C19" s="9">
        <v>19</v>
      </c>
      <c r="D19" s="9">
        <v>4</v>
      </c>
      <c r="E19" s="9"/>
      <c r="F19" s="10">
        <v>54</v>
      </c>
      <c r="J19" s="8"/>
      <c r="K19" s="9">
        <v>2037</v>
      </c>
      <c r="L19" s="9">
        <v>12</v>
      </c>
      <c r="M19" s="9">
        <v>20000</v>
      </c>
      <c r="N19" s="9">
        <f t="shared" si="0"/>
        <v>240000</v>
      </c>
      <c r="O19" s="10">
        <v>54</v>
      </c>
    </row>
    <row r="20" spans="1:17" x14ac:dyDescent="0.55000000000000004">
      <c r="A20" s="8"/>
      <c r="B20" s="9">
        <v>2038</v>
      </c>
      <c r="C20" s="9">
        <v>19</v>
      </c>
      <c r="D20" s="9">
        <v>6</v>
      </c>
      <c r="E20" s="9"/>
      <c r="F20" s="10">
        <v>55</v>
      </c>
      <c r="J20" s="8"/>
      <c r="K20" s="9">
        <v>2038</v>
      </c>
      <c r="L20" s="9">
        <v>12</v>
      </c>
      <c r="M20" s="9">
        <v>20000</v>
      </c>
      <c r="N20" s="9">
        <f t="shared" si="0"/>
        <v>240000</v>
      </c>
      <c r="O20" s="10">
        <v>55</v>
      </c>
    </row>
    <row r="21" spans="1:17" x14ac:dyDescent="0.55000000000000004">
      <c r="A21" s="8"/>
      <c r="B21" s="9">
        <v>2039</v>
      </c>
      <c r="C21" s="9">
        <v>19</v>
      </c>
      <c r="D21" s="9">
        <v>6</v>
      </c>
      <c r="E21" s="9"/>
      <c r="F21" s="10">
        <v>56</v>
      </c>
      <c r="J21" s="8"/>
      <c r="K21" s="9">
        <v>2039</v>
      </c>
      <c r="L21" s="9">
        <v>12</v>
      </c>
      <c r="M21" s="9">
        <v>20000</v>
      </c>
      <c r="N21" s="9">
        <f t="shared" si="0"/>
        <v>240000</v>
      </c>
      <c r="O21" s="10">
        <v>56</v>
      </c>
    </row>
    <row r="22" spans="1:17" x14ac:dyDescent="0.55000000000000004">
      <c r="A22" s="8"/>
      <c r="B22" s="9">
        <v>2040</v>
      </c>
      <c r="C22" s="9">
        <v>19</v>
      </c>
      <c r="D22" s="9">
        <v>6</v>
      </c>
      <c r="E22" s="9"/>
      <c r="F22" s="10">
        <v>57</v>
      </c>
      <c r="J22" s="8"/>
      <c r="K22" s="9">
        <v>2040</v>
      </c>
      <c r="L22" s="9">
        <v>12</v>
      </c>
      <c r="M22" s="9">
        <v>20000</v>
      </c>
      <c r="N22" s="9">
        <f t="shared" si="0"/>
        <v>240000</v>
      </c>
      <c r="O22" s="10">
        <v>57</v>
      </c>
    </row>
    <row r="23" spans="1:17" x14ac:dyDescent="0.55000000000000004">
      <c r="A23" s="8"/>
      <c r="B23" s="9">
        <v>2041</v>
      </c>
      <c r="C23" s="9">
        <v>19</v>
      </c>
      <c r="D23" s="9">
        <v>6</v>
      </c>
      <c r="E23" s="9"/>
      <c r="F23" s="10">
        <v>58</v>
      </c>
      <c r="J23" s="8"/>
      <c r="K23" s="9">
        <v>2041</v>
      </c>
      <c r="L23" s="9">
        <v>12</v>
      </c>
      <c r="M23" s="9">
        <v>20000</v>
      </c>
      <c r="N23" s="9">
        <f t="shared" si="0"/>
        <v>240000</v>
      </c>
      <c r="O23" s="10">
        <v>58</v>
      </c>
    </row>
    <row r="24" spans="1:17" x14ac:dyDescent="0.55000000000000004">
      <c r="A24" s="8"/>
      <c r="B24" s="9">
        <v>2042</v>
      </c>
      <c r="C24" s="9">
        <v>19</v>
      </c>
      <c r="D24" s="9">
        <v>6</v>
      </c>
      <c r="E24" s="9"/>
      <c r="F24" s="10">
        <v>59</v>
      </c>
      <c r="J24" s="8"/>
      <c r="K24" s="9">
        <v>2042</v>
      </c>
      <c r="L24" s="9">
        <v>12</v>
      </c>
      <c r="M24" s="9">
        <v>20000</v>
      </c>
      <c r="N24" s="9">
        <f t="shared" si="0"/>
        <v>240000</v>
      </c>
      <c r="O24" s="10">
        <v>59</v>
      </c>
    </row>
    <row r="25" spans="1:17" x14ac:dyDescent="0.55000000000000004">
      <c r="A25" s="8"/>
      <c r="B25" s="9">
        <v>2042</v>
      </c>
      <c r="C25" s="9">
        <v>19</v>
      </c>
      <c r="D25" s="9">
        <v>9</v>
      </c>
      <c r="E25" s="9"/>
      <c r="F25" s="10">
        <v>60</v>
      </c>
      <c r="J25" s="8"/>
      <c r="K25" s="9">
        <v>2042</v>
      </c>
      <c r="L25" s="9">
        <v>12</v>
      </c>
      <c r="M25" s="9">
        <v>20000</v>
      </c>
      <c r="N25" s="9">
        <f t="shared" si="0"/>
        <v>240000</v>
      </c>
      <c r="O25" s="10">
        <v>60</v>
      </c>
    </row>
    <row r="26" spans="1:17" x14ac:dyDescent="0.55000000000000004">
      <c r="A26" s="8"/>
      <c r="B26" s="9">
        <v>2043</v>
      </c>
      <c r="C26" s="9">
        <v>19</v>
      </c>
      <c r="D26" s="9">
        <v>9</v>
      </c>
      <c r="E26" s="9"/>
      <c r="F26" s="10">
        <v>61</v>
      </c>
      <c r="J26" s="8"/>
      <c r="K26" s="9">
        <v>2043</v>
      </c>
      <c r="L26" s="9">
        <v>12</v>
      </c>
      <c r="M26" s="9">
        <v>20000</v>
      </c>
      <c r="N26" s="9">
        <f t="shared" si="0"/>
        <v>240000</v>
      </c>
      <c r="O26" s="10">
        <v>61</v>
      </c>
    </row>
    <row r="27" spans="1:17" ht="18.5" thickBot="1" x14ac:dyDescent="0.6">
      <c r="A27" s="12"/>
      <c r="B27" s="11"/>
      <c r="C27" s="11">
        <f>SUM(C4:C26)</f>
        <v>417</v>
      </c>
      <c r="D27" s="11">
        <f>SUM(D4:D26)</f>
        <v>98</v>
      </c>
      <c r="E27" s="11"/>
      <c r="F27" s="13"/>
      <c r="J27" s="12"/>
      <c r="K27" s="11"/>
      <c r="L27" s="11"/>
      <c r="M27" s="11"/>
      <c r="N27" s="11"/>
      <c r="O27" s="13"/>
    </row>
    <row r="28" spans="1:17" ht="18.5" thickTop="1" x14ac:dyDescent="0.55000000000000004">
      <c r="A28" s="14"/>
      <c r="B28" s="15"/>
      <c r="C28" s="16">
        <f>C27*11000</f>
        <v>4587000</v>
      </c>
      <c r="D28" s="17">
        <f>D27*11000</f>
        <v>1078000</v>
      </c>
      <c r="E28" s="19">
        <f>(C28+D28)*H28</f>
        <v>5665000</v>
      </c>
      <c r="F28" s="18"/>
      <c r="G28" s="2" t="s">
        <v>3</v>
      </c>
      <c r="H28" s="3">
        <v>1</v>
      </c>
      <c r="J28" s="14"/>
      <c r="K28" s="15"/>
      <c r="L28" s="16">
        <f>L27*11000</f>
        <v>0</v>
      </c>
      <c r="M28" s="17">
        <f>M27*11000</f>
        <v>0</v>
      </c>
      <c r="N28" s="19">
        <f>SUM(N4:N27)</f>
        <v>4440000</v>
      </c>
      <c r="O28" s="18"/>
      <c r="P28" s="2" t="s">
        <v>3</v>
      </c>
      <c r="Q28" s="3">
        <v>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0CE7B-EBD0-4E3E-9986-7DD3E7C6E1F0}">
  <dimension ref="B4:F29"/>
  <sheetViews>
    <sheetView workbookViewId="0">
      <selection activeCell="C30" sqref="C30"/>
    </sheetView>
  </sheetViews>
  <sheetFormatPr defaultRowHeight="18" x14ac:dyDescent="0.55000000000000004"/>
  <cols>
    <col min="3" max="3" width="9.1640625" bestFit="1" customWidth="1"/>
    <col min="4" max="4" width="8.75" bestFit="1" customWidth="1"/>
    <col min="5" max="5" width="9.1640625" bestFit="1" customWidth="1"/>
  </cols>
  <sheetData>
    <row r="4" spans="2:6" x14ac:dyDescent="0.55000000000000004">
      <c r="B4">
        <v>2022</v>
      </c>
      <c r="C4">
        <v>14</v>
      </c>
      <c r="D4">
        <v>0</v>
      </c>
      <c r="F4">
        <v>39</v>
      </c>
    </row>
    <row r="5" spans="2:6" x14ac:dyDescent="0.55000000000000004">
      <c r="B5">
        <v>2023</v>
      </c>
      <c r="C5">
        <v>14</v>
      </c>
      <c r="D5">
        <v>2</v>
      </c>
      <c r="F5">
        <v>40</v>
      </c>
    </row>
    <row r="6" spans="2:6" x14ac:dyDescent="0.55000000000000004">
      <c r="B6">
        <v>2024</v>
      </c>
      <c r="C6">
        <v>14</v>
      </c>
      <c r="D6">
        <v>2</v>
      </c>
      <c r="F6">
        <v>41</v>
      </c>
    </row>
    <row r="7" spans="2:6" x14ac:dyDescent="0.55000000000000004">
      <c r="B7">
        <v>2025</v>
      </c>
      <c r="C7">
        <v>14</v>
      </c>
      <c r="D7">
        <v>2</v>
      </c>
      <c r="F7">
        <v>42</v>
      </c>
    </row>
    <row r="8" spans="2:6" x14ac:dyDescent="0.55000000000000004">
      <c r="B8">
        <v>2026</v>
      </c>
      <c r="F8">
        <v>43</v>
      </c>
    </row>
    <row r="9" spans="2:6" x14ac:dyDescent="0.55000000000000004">
      <c r="B9">
        <v>2027</v>
      </c>
      <c r="F9">
        <v>44</v>
      </c>
    </row>
    <row r="10" spans="2:6" x14ac:dyDescent="0.55000000000000004">
      <c r="B10">
        <v>2028</v>
      </c>
      <c r="F10">
        <v>45</v>
      </c>
    </row>
    <row r="11" spans="2:6" x14ac:dyDescent="0.55000000000000004">
      <c r="B11">
        <v>2029</v>
      </c>
      <c r="F11">
        <v>46</v>
      </c>
    </row>
    <row r="12" spans="2:6" x14ac:dyDescent="0.55000000000000004">
      <c r="B12">
        <v>2030</v>
      </c>
      <c r="F12">
        <v>47</v>
      </c>
    </row>
    <row r="13" spans="2:6" x14ac:dyDescent="0.55000000000000004">
      <c r="B13">
        <v>2031</v>
      </c>
      <c r="F13">
        <v>48</v>
      </c>
    </row>
    <row r="14" spans="2:6" x14ac:dyDescent="0.55000000000000004">
      <c r="B14">
        <v>2032</v>
      </c>
      <c r="F14">
        <v>49</v>
      </c>
    </row>
    <row r="15" spans="2:6" x14ac:dyDescent="0.55000000000000004">
      <c r="B15">
        <v>2033</v>
      </c>
      <c r="F15">
        <v>50</v>
      </c>
    </row>
    <row r="16" spans="2:6" x14ac:dyDescent="0.55000000000000004">
      <c r="B16">
        <v>2034</v>
      </c>
      <c r="F16">
        <v>51</v>
      </c>
    </row>
    <row r="17" spans="2:6" x14ac:dyDescent="0.55000000000000004">
      <c r="B17">
        <v>2035</v>
      </c>
      <c r="F17">
        <v>52</v>
      </c>
    </row>
    <row r="18" spans="2:6" x14ac:dyDescent="0.55000000000000004">
      <c r="B18">
        <v>2036</v>
      </c>
      <c r="F18">
        <v>53</v>
      </c>
    </row>
    <row r="19" spans="2:6" x14ac:dyDescent="0.55000000000000004">
      <c r="B19">
        <v>2037</v>
      </c>
      <c r="F19">
        <v>54</v>
      </c>
    </row>
    <row r="20" spans="2:6" x14ac:dyDescent="0.55000000000000004">
      <c r="B20">
        <v>2038</v>
      </c>
      <c r="F20">
        <v>55</v>
      </c>
    </row>
    <row r="21" spans="2:6" x14ac:dyDescent="0.55000000000000004">
      <c r="B21">
        <v>2039</v>
      </c>
      <c r="F21">
        <v>56</v>
      </c>
    </row>
    <row r="22" spans="2:6" x14ac:dyDescent="0.55000000000000004">
      <c r="B22">
        <v>2040</v>
      </c>
      <c r="F22">
        <v>57</v>
      </c>
    </row>
    <row r="23" spans="2:6" x14ac:dyDescent="0.55000000000000004">
      <c r="B23">
        <v>2041</v>
      </c>
      <c r="F23">
        <v>58</v>
      </c>
    </row>
    <row r="24" spans="2:6" x14ac:dyDescent="0.55000000000000004">
      <c r="B24">
        <v>2042</v>
      </c>
      <c r="F24">
        <v>59</v>
      </c>
    </row>
    <row r="25" spans="2:6" x14ac:dyDescent="0.55000000000000004">
      <c r="B25">
        <v>2042</v>
      </c>
      <c r="F25">
        <v>60</v>
      </c>
    </row>
    <row r="26" spans="2:6" x14ac:dyDescent="0.55000000000000004">
      <c r="C26">
        <f>SUM(C4:C25)</f>
        <v>56</v>
      </c>
      <c r="D26">
        <f>SUM(D4:D25)</f>
        <v>6</v>
      </c>
    </row>
    <row r="27" spans="2:6" x14ac:dyDescent="0.55000000000000004">
      <c r="C27" s="1">
        <f>C26*11000</f>
        <v>616000</v>
      </c>
      <c r="D27" s="1">
        <f>D26*11000</f>
        <v>66000</v>
      </c>
      <c r="E27" s="1">
        <f>(C27+D27)*C29</f>
        <v>409200</v>
      </c>
    </row>
    <row r="29" spans="2:6" x14ac:dyDescent="0.55000000000000004">
      <c r="C29">
        <v>0.6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Miketa Takato-三ケ田 崇人</dc:creator>
  <cp:lastModifiedBy>Miketa Takato-三ケ田 崇人</cp:lastModifiedBy>
  <dcterms:created xsi:type="dcterms:W3CDTF">2025-12-18T05:48:54Z</dcterms:created>
  <dcterms:modified xsi:type="dcterms:W3CDTF">2025-12-22T05:00:17Z</dcterms:modified>
</cp:coreProperties>
</file>